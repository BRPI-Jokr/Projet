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3.xml" ContentType="application/vnd.ms-office.chartstyle+xml"/>
  <Override PartName="/xl/charts/style2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3.xml" ContentType="application/vnd.ms-office.chartcolorstyle+xml"/>
  <Override PartName="/xl/charts/colors2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945" yWindow="0" windowWidth="22095" windowHeight="9645" tabRatio="500"/>
  </bookViews>
  <sheets>
    <sheet name="Tableau de bord " sheetId="1" r:id="rId1"/>
    <sheet name="Donnees" sheetId="2" r:id="rId2"/>
  </sheets>
  <definedNames>
    <definedName name="QUI">Donnees!$K$14:$K$15</definedName>
    <definedName name="STATUT">Donnees!$K$4:$K$7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7" i="2"/>
  <c r="L6"/>
  <c r="L5"/>
  <c r="L4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M15"/>
  <c r="M14"/>
  <c r="L15"/>
  <c r="L14"/>
  <c r="G2" i="1"/>
  <c r="M5" i="2" l="1"/>
  <c r="M7" l="1"/>
  <c r="M6"/>
  <c r="M4"/>
</calcChain>
</file>

<file path=xl/sharedStrings.xml><?xml version="1.0" encoding="utf-8"?>
<sst xmlns="http://schemas.openxmlformats.org/spreadsheetml/2006/main" count="78" uniqueCount="36">
  <si>
    <t>COMPLETE</t>
  </si>
  <si>
    <t>%</t>
  </si>
  <si>
    <t>TABLEAU DE BORD</t>
  </si>
  <si>
    <t>TACHES</t>
  </si>
  <si>
    <t>QUI</t>
  </si>
  <si>
    <t>STATUT</t>
  </si>
  <si>
    <t>TOTAL</t>
  </si>
  <si>
    <t>DÉPASSÉ</t>
  </si>
  <si>
    <t>EN COURS</t>
  </si>
  <si>
    <t>A FAIRE</t>
  </si>
  <si>
    <t>PROBLEMES</t>
  </si>
  <si>
    <t>Tache1</t>
  </si>
  <si>
    <t>Tache2</t>
  </si>
  <si>
    <t>Tache3</t>
  </si>
  <si>
    <t>STATUT TACHES</t>
  </si>
  <si>
    <t>RAPPORT DE PROJETS</t>
  </si>
  <si>
    <t>QUI?</t>
  </si>
  <si>
    <t>COMMENTAIRES</t>
  </si>
  <si>
    <t>PLANNING TACHES</t>
  </si>
  <si>
    <t xml:space="preserve">DATA PROJET JOK'R </t>
  </si>
  <si>
    <t>DATE DEBUT</t>
  </si>
  <si>
    <t>DATE FIN</t>
  </si>
  <si>
    <t>CHARGE PRÉVISIONNELLE</t>
  </si>
  <si>
    <t>CHARGE EFFECTIVE</t>
  </si>
  <si>
    <t>Tache4</t>
  </si>
  <si>
    <t>TABLEAU DE BORD PROJET JOK'R en date du</t>
  </si>
  <si>
    <t>Documentation de la DLL</t>
  </si>
  <si>
    <t>Tests</t>
  </si>
  <si>
    <t>Rendu Projet</t>
  </si>
  <si>
    <t>CHARGE PAR PERSONNE</t>
  </si>
  <si>
    <t>Alexandre</t>
  </si>
  <si>
    <t>Maxime</t>
  </si>
  <si>
    <t>NB DE TACHES AFFECTEES</t>
  </si>
  <si>
    <t>CHARGE PREVISIONNELLE</t>
  </si>
  <si>
    <t>Tache6</t>
  </si>
  <si>
    <t>DUREE DE LA PERIODE</t>
  </si>
</sst>
</file>

<file path=xl/styles.xml><?xml version="1.0" encoding="utf-8"?>
<styleSheet xmlns="http://schemas.openxmlformats.org/spreadsheetml/2006/main">
  <numFmts count="1">
    <numFmt numFmtId="168" formatCode="[$-40C]d\-mmm;@"/>
  </numFmts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7" tint="-0.249977111117893"/>
      <name val="Arial"/>
    </font>
    <font>
      <sz val="9"/>
      <color theme="0"/>
      <name val="Arial"/>
    </font>
    <font>
      <b/>
      <sz val="16"/>
      <color theme="1"/>
      <name val="Arial"/>
    </font>
    <font>
      <b/>
      <sz val="11"/>
      <color theme="0"/>
      <name val="Arial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9"/>
      <color theme="0"/>
      <name val="Arial"/>
      <family val="2"/>
    </font>
    <font>
      <b/>
      <sz val="10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59999389629810485"/>
      </left>
      <right/>
      <top/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  <border>
      <left/>
      <right/>
      <top style="thin">
        <color theme="8" tint="0.59999389629810485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/>
      <top/>
      <bottom/>
      <diagonal/>
    </border>
    <border>
      <left/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0" fillId="0" borderId="0" xfId="0" applyFill="1"/>
    <xf numFmtId="0" fontId="3" fillId="0" borderId="0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indent="1"/>
    </xf>
    <xf numFmtId="0" fontId="4" fillId="6" borderId="1" xfId="0" applyFont="1" applyFill="1" applyBorder="1" applyAlignment="1">
      <alignment horizontal="left" indent="1"/>
    </xf>
    <xf numFmtId="0" fontId="3" fillId="12" borderId="1" xfId="0" applyFont="1" applyFill="1" applyBorder="1" applyAlignment="1">
      <alignment horizontal="center" vertical="center" wrapText="1"/>
    </xf>
    <xf numFmtId="9" fontId="4" fillId="0" borderId="1" xfId="1" applyFont="1" applyBorder="1" applyAlignment="1">
      <alignment horizontal="center"/>
    </xf>
    <xf numFmtId="9" fontId="4" fillId="0" borderId="1" xfId="1" applyFont="1" applyFill="1" applyBorder="1" applyAlignment="1">
      <alignment horizontal="center"/>
    </xf>
    <xf numFmtId="9" fontId="0" fillId="0" borderId="0" xfId="0" applyNumberFormat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13" borderId="0" xfId="0" applyFill="1"/>
    <xf numFmtId="0" fontId="3" fillId="13" borderId="0" xfId="0" applyFont="1" applyFill="1" applyBorder="1" applyAlignment="1">
      <alignment horizontal="center" vertical="center" wrapText="1"/>
    </xf>
    <xf numFmtId="0" fontId="2" fillId="13" borderId="0" xfId="0" applyFont="1" applyFill="1"/>
    <xf numFmtId="0" fontId="3" fillId="13" borderId="0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horizontal="left" indent="1"/>
    </xf>
    <xf numFmtId="0" fontId="4" fillId="14" borderId="1" xfId="0" applyFont="1" applyFill="1" applyBorder="1"/>
    <xf numFmtId="0" fontId="3" fillId="15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indent="1"/>
    </xf>
    <xf numFmtId="0" fontId="4" fillId="17" borderId="1" xfId="0" applyFont="1" applyFill="1" applyBorder="1"/>
    <xf numFmtId="0" fontId="3" fillId="9" borderId="7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8" borderId="7" xfId="2" applyFont="1" applyFill="1" applyBorder="1" applyAlignment="1">
      <alignment horizontal="center" vertical="center" wrapText="1"/>
    </xf>
    <xf numFmtId="0" fontId="4" fillId="17" borderId="2" xfId="0" applyFont="1" applyFill="1" applyBorder="1"/>
    <xf numFmtId="0" fontId="4" fillId="17" borderId="3" xfId="0" applyFont="1" applyFill="1" applyBorder="1"/>
    <xf numFmtId="0" fontId="4" fillId="17" borderId="4" xfId="0" applyFont="1" applyFill="1" applyBorder="1"/>
    <xf numFmtId="0" fontId="4" fillId="14" borderId="2" xfId="0" applyFont="1" applyFill="1" applyBorder="1"/>
    <xf numFmtId="0" fontId="4" fillId="14" borderId="3" xfId="0" applyFont="1" applyFill="1" applyBorder="1"/>
    <xf numFmtId="0" fontId="4" fillId="14" borderId="4" xfId="0" applyFont="1" applyFill="1" applyBorder="1"/>
    <xf numFmtId="0" fontId="4" fillId="17" borderId="1" xfId="0" applyFont="1" applyFill="1" applyBorder="1" applyAlignment="1">
      <alignment horizontal="left" indent="1"/>
    </xf>
    <xf numFmtId="0" fontId="4" fillId="14" borderId="1" xfId="0" applyFont="1" applyFill="1" applyBorder="1" applyAlignment="1">
      <alignment horizontal="left" indent="1"/>
    </xf>
    <xf numFmtId="0" fontId="8" fillId="16" borderId="0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0" borderId="7" xfId="2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/>
    </xf>
    <xf numFmtId="168" fontId="4" fillId="7" borderId="1" xfId="0" applyNumberFormat="1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left" indent="1"/>
    </xf>
    <xf numFmtId="0" fontId="10" fillId="13" borderId="0" xfId="0" applyFont="1" applyFill="1" applyBorder="1" applyAlignment="1">
      <alignment horizontal="center" vertical="center"/>
    </xf>
    <xf numFmtId="14" fontId="7" fillId="13" borderId="0" xfId="0" applyNumberFormat="1" applyFont="1" applyFill="1" applyBorder="1" applyAlignment="1">
      <alignment vertical="center"/>
    </xf>
    <xf numFmtId="0" fontId="9" fillId="0" borderId="1" xfId="0" applyFont="1" applyBorder="1" applyAlignment="1">
      <alignment horizontal="left" indent="1"/>
    </xf>
    <xf numFmtId="0" fontId="11" fillId="9" borderId="1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0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9" fillId="0" borderId="1" xfId="1" applyNumberFormat="1" applyFont="1" applyBorder="1" applyAlignment="1">
      <alignment horizontal="center"/>
    </xf>
    <xf numFmtId="0" fontId="12" fillId="2" borderId="7" xfId="2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</cellXfs>
  <cellStyles count="3">
    <cellStyle name="Normal" xfId="0" builtinId="0"/>
    <cellStyle name="Normal 2" xfId="2"/>
    <cellStyle name="Pourcentage" xfId="1" builtinId="5"/>
  </cellStyles>
  <dxfs count="5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 tint="-0.24994659260841701"/>
        </patternFill>
      </fill>
    </dxf>
  </dxfs>
  <tableStyles count="0" defaultTableStyle="TableStyleMedium9" defaultPivotStyle="PivotStyleMedium7"/>
  <colors>
    <mruColors>
      <color rgb="FFED7C00"/>
      <color rgb="FF941100"/>
      <color rgb="FF6A3AFF"/>
      <color rgb="FFEE57AD"/>
      <color rgb="FFFFC11D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charset="0"/>
                <a:ea typeface="Arial" charset="0"/>
                <a:cs typeface="Arial" charset="0"/>
              </a:defRPr>
            </a:pPr>
            <a:r>
              <a:rPr lang="en-US" sz="1100" b="1">
                <a:solidFill>
                  <a:schemeClr val="tx1"/>
                </a:solidFill>
              </a:rPr>
              <a:t>Charge</a:t>
            </a:r>
            <a:r>
              <a:rPr lang="en-US" sz="1100" b="1" baseline="0">
                <a:solidFill>
                  <a:schemeClr val="tx1"/>
                </a:solidFill>
              </a:rPr>
              <a:t> Prévisionnelles vs Effective Par Tâche</a:t>
            </a:r>
            <a:endParaRPr lang="en-US" sz="1100" b="1">
              <a:solidFill>
                <a:schemeClr val="tx1"/>
              </a:solidFill>
            </a:endParaRP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Donnees!$H$3</c:f>
              <c:strCache>
                <c:ptCount val="1"/>
                <c:pt idx="0">
                  <c:v>CHARGE PRÉVISIONNELLE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6A4-4122-974D-5A8FFAEFEA0B}"/>
              </c:ext>
            </c:extLst>
          </c:dPt>
          <c:dPt>
            <c:idx val="1"/>
            <c:spPr>
              <a:solidFill>
                <a:srgbClr val="6A3A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6A4-4122-974D-5A8FFAEFEA0B}"/>
              </c:ext>
            </c:extLst>
          </c:dPt>
          <c:dPt>
            <c:idx val="2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6A4-4122-974D-5A8FFAEFEA0B}"/>
              </c:ext>
            </c:extLst>
          </c:dPt>
          <c:dPt>
            <c:idx val="3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6A4-4122-974D-5A8FFAEFEA0B}"/>
              </c:ext>
            </c:extLst>
          </c:dPt>
          <c:dPt>
            <c:idx val="4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6A4-4122-974D-5A8FFAEFEA0B}"/>
              </c:ext>
            </c:extLst>
          </c:dPt>
          <c:dPt>
            <c:idx val="5"/>
            <c:spPr>
              <a:solidFill>
                <a:srgbClr val="92D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6A4-4122-974D-5A8FFAEFEA0B}"/>
              </c:ext>
            </c:extLst>
          </c:dPt>
          <c:dPt>
            <c:idx val="6"/>
            <c:spPr>
              <a:solidFill>
                <a:srgbClr val="EE57AD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6A4-4122-974D-5A8FFAEFEA0B}"/>
              </c:ext>
            </c:extLst>
          </c:dPt>
          <c:dPt>
            <c:idx val="7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6A4-4122-974D-5A8FFAEFEA0B}"/>
              </c:ext>
            </c:extLst>
          </c:dPt>
          <c:dPt>
            <c:idx val="8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6A4-4122-974D-5A8FFAEFEA0B}"/>
              </c:ext>
            </c:extLst>
          </c:dPt>
          <c:dPt>
            <c:idx val="9"/>
            <c:spPr>
              <a:solidFill>
                <a:srgbClr val="00B0F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6A4-4122-974D-5A8FFAEFEA0B}"/>
              </c:ext>
            </c:extLst>
          </c:dPt>
          <c:dPt>
            <c:idx val="10"/>
            <c:spPr>
              <a:solidFill>
                <a:srgbClr val="C0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6A4-4122-974D-5A8FFAEFEA0B}"/>
              </c:ext>
            </c:extLst>
          </c:dPt>
          <c:dPt>
            <c:idx val="11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6A4-4122-974D-5A8FFAEFEA0B}"/>
              </c:ext>
            </c:extLst>
          </c:dPt>
          <c:dPt>
            <c:idx val="12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C6A4-4122-974D-5A8FFAEFEA0B}"/>
              </c:ext>
            </c:extLst>
          </c:dPt>
          <c:dPt>
            <c:idx val="13"/>
            <c:spPr>
              <a:solidFill>
                <a:srgbClr val="FFC11D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C6A4-4122-974D-5A8FFAEFEA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fr-F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Donnees!$B$4:$B$37</c:f>
              <c:strCache>
                <c:ptCount val="34"/>
                <c:pt idx="0">
                  <c:v>Tache1</c:v>
                </c:pt>
                <c:pt idx="1">
                  <c:v>Tache2</c:v>
                </c:pt>
                <c:pt idx="2">
                  <c:v>Tache3</c:v>
                </c:pt>
                <c:pt idx="3">
                  <c:v>Tache4</c:v>
                </c:pt>
                <c:pt idx="5">
                  <c:v>Tache6</c:v>
                </c:pt>
                <c:pt idx="31">
                  <c:v>Tests</c:v>
                </c:pt>
                <c:pt idx="32">
                  <c:v>Documentation de la DLL</c:v>
                </c:pt>
                <c:pt idx="33">
                  <c:v>Rendu Projet</c:v>
                </c:pt>
              </c:strCache>
            </c:strRef>
          </c:cat>
          <c:val>
            <c:numRef>
              <c:f>Donnees!$H$4:$H$17</c:f>
              <c:numCache>
                <c:formatCode>General</c:formatCode>
                <c:ptCount val="14"/>
                <c:pt idx="0">
                  <c:v>32</c:v>
                </c:pt>
                <c:pt idx="1">
                  <c:v>25</c:v>
                </c:pt>
                <c:pt idx="2">
                  <c:v>5</c:v>
                </c:pt>
                <c:pt idx="3">
                  <c:v>12</c:v>
                </c:pt>
                <c:pt idx="5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C6A4-4122-974D-5A8FFAEFEA0B}"/>
            </c:ext>
          </c:extLst>
        </c:ser>
        <c:ser>
          <c:idx val="1"/>
          <c:order val="1"/>
          <c:tx>
            <c:strRef>
              <c:f>Donnees!$G$3</c:f>
              <c:strCache>
                <c:ptCount val="1"/>
                <c:pt idx="0">
                  <c:v>CHARGE EFFECTIVE</c:v>
                </c:pt>
              </c:strCache>
            </c:strRef>
          </c:tx>
          <c:cat>
            <c:strRef>
              <c:f>Donnees!$B$4:$B$37</c:f>
              <c:strCache>
                <c:ptCount val="34"/>
                <c:pt idx="0">
                  <c:v>Tache1</c:v>
                </c:pt>
                <c:pt idx="1">
                  <c:v>Tache2</c:v>
                </c:pt>
                <c:pt idx="2">
                  <c:v>Tache3</c:v>
                </c:pt>
                <c:pt idx="3">
                  <c:v>Tache4</c:v>
                </c:pt>
                <c:pt idx="5">
                  <c:v>Tache6</c:v>
                </c:pt>
                <c:pt idx="31">
                  <c:v>Tests</c:v>
                </c:pt>
                <c:pt idx="32">
                  <c:v>Documentation de la DLL</c:v>
                </c:pt>
                <c:pt idx="33">
                  <c:v>Rendu Projet</c:v>
                </c:pt>
              </c:strCache>
            </c:strRef>
          </c:cat>
          <c:val>
            <c:numRef>
              <c:f>Donnees!$G$4:$G$37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5">
                  <c:v>2</c:v>
                </c:pt>
              </c:numCache>
            </c:numRef>
          </c:val>
        </c:ser>
        <c:dLbls/>
        <c:gapWidth val="50"/>
        <c:axId val="109889792"/>
        <c:axId val="109891584"/>
      </c:barChart>
      <c:catAx>
        <c:axId val="109889792"/>
        <c:scaling>
          <c:orientation val="maxMin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fr-FR"/>
          </a:p>
        </c:txPr>
        <c:crossAx val="109891584"/>
        <c:crosses val="autoZero"/>
        <c:auto val="1"/>
        <c:lblAlgn val="ctr"/>
        <c:lblOffset val="100"/>
      </c:catAx>
      <c:valAx>
        <c:axId val="109891584"/>
        <c:scaling>
          <c:orientation val="minMax"/>
        </c:scaling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fr-FR"/>
          </a:p>
        </c:txPr>
        <c:crossAx val="10988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gradFill>
      <a:gsLst>
        <a:gs pos="26000">
          <a:schemeClr val="accent1">
            <a:lumMod val="0"/>
            <a:lumOff val="100000"/>
          </a:schemeClr>
        </a:gs>
        <a:gs pos="100000">
          <a:schemeClr val="bg1">
            <a:lumMod val="95000"/>
          </a:schemeClr>
        </a:gs>
      </a:gsLst>
      <a:path path="circle">
        <a:fillToRect r="100000" b="100000"/>
      </a:path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Arial" charset="0"/>
          <a:ea typeface="Arial" charset="0"/>
          <a:cs typeface="Arial" charset="0"/>
        </a:defRPr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Statut</a:t>
            </a:r>
            <a:r>
              <a:rPr lang="fr-FR" baseline="0"/>
              <a:t> des tâches</a:t>
            </a:r>
          </a:p>
        </c:rich>
      </c:tx>
      <c:layout>
        <c:manualLayout>
          <c:xMode val="edge"/>
          <c:yMode val="edge"/>
          <c:x val="4.7881197748143742E-2"/>
          <c:y val="2.1164021164021163E-2"/>
        </c:manualLayout>
      </c:layout>
      <c:overlay val="1"/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Donnees!$L$3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spPr>
              <a:solidFill>
                <a:srgbClr val="00B05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369-4DAD-962A-188DFB088CA3}"/>
              </c:ext>
            </c:extLst>
          </c:dPt>
          <c:dPt>
            <c:idx val="1"/>
            <c:spPr>
              <a:solidFill>
                <a:srgbClr val="C0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369-4DAD-962A-188DFB088CA3}"/>
              </c:ext>
            </c:extLst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369-4DAD-962A-188DFB088CA3}"/>
              </c:ext>
            </c:extLst>
          </c:dPt>
          <c:dPt>
            <c:idx val="3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369-4DAD-962A-188DFB088CA3}"/>
              </c:ext>
            </c:extLst>
          </c:dPt>
          <c:dPt>
            <c:idx val="4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D369-4DAD-962A-188DFB088CA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spPr>
              <a:noFill/>
              <a:ln>
                <a:noFill/>
              </a:ln>
              <a:effectLst/>
            </c:spPr>
            <c:dLblPos val="outEnd"/>
            <c:showCatName val="1"/>
            <c:showPercent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Donnees!$K$4:$K$7</c:f>
              <c:strCache>
                <c:ptCount val="4"/>
                <c:pt idx="0">
                  <c:v>COMPLETE</c:v>
                </c:pt>
                <c:pt idx="1">
                  <c:v>DÉPASSÉ</c:v>
                </c:pt>
                <c:pt idx="2">
                  <c:v>EN COURS</c:v>
                </c:pt>
                <c:pt idx="3">
                  <c:v>A FAIRE</c:v>
                </c:pt>
              </c:strCache>
            </c:strRef>
          </c:cat>
          <c:val>
            <c:numRef>
              <c:f>Donnees!$L$4:$L$7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D369-4DAD-962A-188DFB088CA3}"/>
            </c:ext>
          </c:extLst>
        </c:ser>
        <c:ser>
          <c:idx val="1"/>
          <c:order val="1"/>
          <c:tx>
            <c:strRef>
              <c:f>Donnees!$M$3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D369-4DAD-962A-188DFB088CA3}"/>
              </c:ext>
            </c:extLst>
          </c:dPt>
          <c:dPt>
            <c:idx val="1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D369-4DAD-962A-188DFB088CA3}"/>
              </c:ext>
            </c:extLst>
          </c:dPt>
          <c:dPt>
            <c:idx val="2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D369-4DAD-962A-188DFB088CA3}"/>
              </c:ext>
            </c:extLst>
          </c:dPt>
          <c:dPt>
            <c:idx val="3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D369-4DAD-962A-188DFB088CA3}"/>
              </c:ext>
            </c:extLst>
          </c:dPt>
          <c:dPt>
            <c:idx val="4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369-4DAD-962A-188DFB088CA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spPr>
              <a:noFill/>
              <a:ln>
                <a:noFill/>
              </a:ln>
              <a:effectLst/>
            </c:spPr>
            <c:dLblPos val="outEnd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Donnees!$K$4:$K$7</c:f>
              <c:strCache>
                <c:ptCount val="4"/>
                <c:pt idx="0">
                  <c:v>COMPLETE</c:v>
                </c:pt>
                <c:pt idx="1">
                  <c:v>DÉPASSÉ</c:v>
                </c:pt>
                <c:pt idx="2">
                  <c:v>EN COURS</c:v>
                </c:pt>
                <c:pt idx="3">
                  <c:v>A FAIRE</c:v>
                </c:pt>
              </c:strCache>
            </c:strRef>
          </c:cat>
          <c:val>
            <c:numRef>
              <c:f>Donnees!$M$4:$M$7</c:f>
              <c:numCache>
                <c:formatCode>0%</c:formatCode>
                <c:ptCount val="4"/>
                <c:pt idx="0">
                  <c:v>2.9411764705882353E-2</c:v>
                </c:pt>
                <c:pt idx="1">
                  <c:v>2.9411764705882353E-2</c:v>
                </c:pt>
                <c:pt idx="2">
                  <c:v>2.9411764705882353E-2</c:v>
                </c:pt>
                <c:pt idx="3">
                  <c:v>0.91176470588235292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D369-4DAD-962A-188DFB088CA3}"/>
            </c:ext>
          </c:extLst>
        </c:ser>
        <c:dLbls>
          <c:showCatName val="1"/>
        </c:dLbls>
      </c:pie3DChart>
      <c:spPr>
        <a:noFill/>
        <a:ln>
          <a:noFill/>
        </a:ln>
        <a:effectLst/>
      </c:spPr>
    </c:plotArea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barChart>
        <c:barDir val="bar"/>
        <c:grouping val="stacked"/>
        <c:ser>
          <c:idx val="0"/>
          <c:order val="0"/>
          <c:tx>
            <c:strRef>
              <c:f>Donnees!$D$3</c:f>
              <c:strCache>
                <c:ptCount val="1"/>
                <c:pt idx="0">
                  <c:v>DATE DEBUT</c:v>
                </c:pt>
              </c:strCache>
            </c:strRef>
          </c:tx>
          <c:spPr>
            <a:noFill/>
            <a:ln>
              <a:noFill/>
            </a:ln>
          </c:spPr>
          <c:val>
            <c:numRef>
              <c:f>Donnees!$D$4:$D$37</c:f>
              <c:numCache>
                <c:formatCode>[$-40C]d\-mmm;@</c:formatCode>
                <c:ptCount val="34"/>
                <c:pt idx="0">
                  <c:v>43074</c:v>
                </c:pt>
                <c:pt idx="1">
                  <c:v>43075</c:v>
                </c:pt>
                <c:pt idx="2">
                  <c:v>43076</c:v>
                </c:pt>
                <c:pt idx="3">
                  <c:v>43115</c:v>
                </c:pt>
                <c:pt idx="5">
                  <c:v>43145</c:v>
                </c:pt>
                <c:pt idx="33">
                  <c:v>43341</c:v>
                </c:pt>
              </c:numCache>
            </c:numRef>
          </c:val>
        </c:ser>
        <c:ser>
          <c:idx val="1"/>
          <c:order val="1"/>
          <c:tx>
            <c:strRef>
              <c:f>Donnees!$H$3</c:f>
              <c:strCache>
                <c:ptCount val="1"/>
                <c:pt idx="0">
                  <c:v>CHARGE PRÉVISIONNELLE</c:v>
                </c:pt>
              </c:strCache>
            </c:strRef>
          </c:tx>
          <c:cat>
            <c:strRef>
              <c:f>Donnees!$B$4:$B$37</c:f>
              <c:strCache>
                <c:ptCount val="34"/>
                <c:pt idx="0">
                  <c:v>Tache1</c:v>
                </c:pt>
                <c:pt idx="1">
                  <c:v>Tache2</c:v>
                </c:pt>
                <c:pt idx="2">
                  <c:v>Tache3</c:v>
                </c:pt>
                <c:pt idx="3">
                  <c:v>Tache4</c:v>
                </c:pt>
                <c:pt idx="5">
                  <c:v>Tache6</c:v>
                </c:pt>
                <c:pt idx="31">
                  <c:v>Tests</c:v>
                </c:pt>
                <c:pt idx="32">
                  <c:v>Documentation de la DLL</c:v>
                </c:pt>
                <c:pt idx="33">
                  <c:v>Rendu Projet</c:v>
                </c:pt>
              </c:strCache>
            </c:strRef>
          </c:cat>
          <c:val>
            <c:numRef>
              <c:f>Donnees!$H$4:$H$37</c:f>
              <c:numCache>
                <c:formatCode>General</c:formatCode>
                <c:ptCount val="34"/>
                <c:pt idx="0">
                  <c:v>32</c:v>
                </c:pt>
                <c:pt idx="1">
                  <c:v>25</c:v>
                </c:pt>
                <c:pt idx="2">
                  <c:v>5</c:v>
                </c:pt>
                <c:pt idx="3">
                  <c:v>12</c:v>
                </c:pt>
                <c:pt idx="5">
                  <c:v>8</c:v>
                </c:pt>
                <c:pt idx="33">
                  <c:v>3</c:v>
                </c:pt>
              </c:numCache>
            </c:numRef>
          </c:val>
        </c:ser>
        <c:overlap val="100"/>
        <c:axId val="53022080"/>
        <c:axId val="53332608"/>
      </c:barChart>
      <c:catAx>
        <c:axId val="53022080"/>
        <c:scaling>
          <c:orientation val="maxMin"/>
        </c:scaling>
        <c:axPos val="l"/>
        <c:tickLblPos val="nextTo"/>
        <c:crossAx val="53332608"/>
        <c:crosses val="autoZero"/>
        <c:auto val="1"/>
        <c:lblAlgn val="ctr"/>
        <c:lblOffset val="100"/>
      </c:catAx>
      <c:valAx>
        <c:axId val="53332608"/>
        <c:scaling>
          <c:orientation val="minMax"/>
          <c:max val="43350"/>
          <c:min val="43070"/>
        </c:scaling>
        <c:axPos val="t"/>
        <c:majorGridlines/>
        <c:numFmt formatCode="[$-40C]d\-mmm;@" sourceLinked="1"/>
        <c:tickLblPos val="nextTo"/>
        <c:crossAx val="53022080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</c:plotArea>
    <c:plotVisOnly val="1"/>
  </c:chart>
  <c:spPr>
    <a:scene3d>
      <a:camera prst="orthographicFront"/>
      <a:lightRig rig="threePt" dir="t"/>
    </a:scene3d>
    <a:sp3d>
      <a:bevelT w="0" h="0"/>
    </a:sp3d>
  </c:spPr>
  <c:printSettings>
    <c:headerFooter/>
    <c:pageMargins b="0.75" l="0.7" r="0.7" t="0.75" header="0.3" footer="0.3"/>
    <c:pageSetup/>
  </c:printSettings>
</c:chartSpac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27</xdr:row>
      <xdr:rowOff>38100</xdr:rowOff>
    </xdr:from>
    <xdr:to>
      <xdr:col>5</xdr:col>
      <xdr:colOff>276224</xdr:colOff>
      <xdr:row>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444500</xdr:colOff>
      <xdr:row>27</xdr:row>
      <xdr:rowOff>38100</xdr:rowOff>
    </xdr:from>
    <xdr:to>
      <xdr:col>11</xdr:col>
      <xdr:colOff>965200</xdr:colOff>
      <xdr:row>45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9524</xdr:colOff>
      <xdr:row>3</xdr:row>
      <xdr:rowOff>95249</xdr:rowOff>
    </xdr:from>
    <xdr:to>
      <xdr:col>11</xdr:col>
      <xdr:colOff>952499</xdr:colOff>
      <xdr:row>26</xdr:row>
      <xdr:rowOff>161924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8"/>
  </sheetPr>
  <dimension ref="A1:M66"/>
  <sheetViews>
    <sheetView showGridLines="0" tabSelected="1" zoomScaleNormal="100" workbookViewId="0">
      <pane ySplit="1" topLeftCell="A2" activePane="bottomLeft" state="frozen"/>
      <selection pane="bottomLeft" activeCell="B52" sqref="B52:D52"/>
    </sheetView>
  </sheetViews>
  <sheetFormatPr baseColWidth="10" defaultColWidth="11.25" defaultRowHeight="15.75"/>
  <cols>
    <col min="1" max="1" width="3" customWidth="1"/>
    <col min="2" max="6" width="13.25" customWidth="1"/>
    <col min="7" max="7" width="14.625" bestFit="1" customWidth="1"/>
    <col min="8" max="12" width="13.25" customWidth="1"/>
    <col min="13" max="13" width="3" customWidth="1"/>
  </cols>
  <sheetData>
    <row r="1" spans="1:13" ht="93" hidden="1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1.9" customHeight="1">
      <c r="A2" s="18"/>
      <c r="B2" s="49" t="s">
        <v>25</v>
      </c>
      <c r="C2" s="49"/>
      <c r="D2" s="49"/>
      <c r="E2" s="49"/>
      <c r="F2" s="49"/>
      <c r="G2" s="50">
        <f ca="1">TODAY()</f>
        <v>43078</v>
      </c>
      <c r="H2" s="20"/>
      <c r="I2" s="20"/>
      <c r="J2" s="18"/>
      <c r="K2" s="18"/>
      <c r="L2" s="18"/>
      <c r="M2" s="18"/>
    </row>
    <row r="3" spans="1:13" ht="24" customHeight="1">
      <c r="A3" s="18"/>
      <c r="B3" s="38" t="s">
        <v>18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18"/>
    </row>
    <row r="4" spans="1:13" ht="9" customHeight="1">
      <c r="A4" s="18"/>
      <c r="B4" s="21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24" customHeight="1">
      <c r="A49" s="18"/>
      <c r="B49" s="38" t="s">
        <v>15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18"/>
    </row>
    <row r="50" spans="1:13" s="6" customFormat="1" ht="7.15" customHeight="1">
      <c r="A50" s="18"/>
      <c r="B50" s="19"/>
      <c r="C50" s="19"/>
      <c r="D50" s="19"/>
      <c r="E50" s="19"/>
      <c r="F50" s="19"/>
      <c r="G50" s="19"/>
      <c r="H50" s="19"/>
      <c r="I50" s="18"/>
      <c r="J50" s="18"/>
      <c r="K50" s="18"/>
      <c r="L50" s="18"/>
      <c r="M50" s="18"/>
    </row>
    <row r="51" spans="1:13" ht="18" customHeight="1">
      <c r="A51" s="18"/>
      <c r="B51" s="39" t="s">
        <v>3</v>
      </c>
      <c r="C51" s="39"/>
      <c r="D51" s="39"/>
      <c r="E51" s="24" t="s">
        <v>16</v>
      </c>
      <c r="F51" s="24" t="s">
        <v>10</v>
      </c>
      <c r="G51" s="40" t="s">
        <v>17</v>
      </c>
      <c r="H51" s="41"/>
      <c r="I51" s="41"/>
      <c r="J51" s="41"/>
      <c r="K51" s="41"/>
      <c r="L51" s="41"/>
      <c r="M51" s="18"/>
    </row>
    <row r="52" spans="1:13" ht="18" customHeight="1">
      <c r="A52" s="18"/>
      <c r="B52" s="37"/>
      <c r="C52" s="37"/>
      <c r="D52" s="37"/>
      <c r="E52" s="22"/>
      <c r="F52" s="23"/>
      <c r="G52" s="33"/>
      <c r="H52" s="34"/>
      <c r="I52" s="34"/>
      <c r="J52" s="34"/>
      <c r="K52" s="34"/>
      <c r="L52" s="35"/>
      <c r="M52" s="18"/>
    </row>
    <row r="53" spans="1:13" ht="18" customHeight="1">
      <c r="A53" s="18"/>
      <c r="B53" s="36"/>
      <c r="C53" s="36"/>
      <c r="D53" s="36"/>
      <c r="E53" s="25"/>
      <c r="F53" s="26"/>
      <c r="G53" s="30"/>
      <c r="H53" s="31"/>
      <c r="I53" s="31"/>
      <c r="J53" s="31"/>
      <c r="K53" s="31"/>
      <c r="L53" s="32"/>
      <c r="M53" s="18"/>
    </row>
    <row r="54" spans="1:13" ht="18" customHeight="1">
      <c r="A54" s="18"/>
      <c r="B54" s="37"/>
      <c r="C54" s="37"/>
      <c r="D54" s="37"/>
      <c r="E54" s="22"/>
      <c r="F54" s="23"/>
      <c r="G54" s="33"/>
      <c r="H54" s="34"/>
      <c r="I54" s="34"/>
      <c r="J54" s="34"/>
      <c r="K54" s="34"/>
      <c r="L54" s="35"/>
      <c r="M54" s="18"/>
    </row>
    <row r="55" spans="1:13" ht="18" customHeight="1">
      <c r="A55" s="18"/>
      <c r="B55" s="36"/>
      <c r="C55" s="36"/>
      <c r="D55" s="36"/>
      <c r="E55" s="25"/>
      <c r="F55" s="26"/>
      <c r="G55" s="30"/>
      <c r="H55" s="31"/>
      <c r="I55" s="31"/>
      <c r="J55" s="31"/>
      <c r="K55" s="31"/>
      <c r="L55" s="32"/>
      <c r="M55" s="18"/>
    </row>
    <row r="56" spans="1:13" ht="18" customHeight="1">
      <c r="A56" s="18"/>
      <c r="B56" s="37"/>
      <c r="C56" s="37"/>
      <c r="D56" s="37"/>
      <c r="E56" s="22"/>
      <c r="F56" s="23"/>
      <c r="G56" s="33"/>
      <c r="H56" s="34"/>
      <c r="I56" s="34"/>
      <c r="J56" s="34"/>
      <c r="K56" s="34"/>
      <c r="L56" s="35"/>
      <c r="M56" s="18"/>
    </row>
    <row r="57" spans="1:13" ht="18" customHeight="1">
      <c r="A57" s="18"/>
      <c r="B57" s="36"/>
      <c r="C57" s="36"/>
      <c r="D57" s="36"/>
      <c r="E57" s="25"/>
      <c r="F57" s="26"/>
      <c r="G57" s="30"/>
      <c r="H57" s="31"/>
      <c r="I57" s="31"/>
      <c r="J57" s="31"/>
      <c r="K57" s="31"/>
      <c r="L57" s="32"/>
      <c r="M57" s="18"/>
    </row>
    <row r="58" spans="1:13" ht="18" customHeight="1">
      <c r="A58" s="18"/>
      <c r="B58" s="37"/>
      <c r="C58" s="37"/>
      <c r="D58" s="37"/>
      <c r="E58" s="22"/>
      <c r="F58" s="23"/>
      <c r="G58" s="33"/>
      <c r="H58" s="34"/>
      <c r="I58" s="34"/>
      <c r="J58" s="34"/>
      <c r="K58" s="34"/>
      <c r="L58" s="35"/>
      <c r="M58" s="18"/>
    </row>
    <row r="59" spans="1:13" ht="18" customHeight="1">
      <c r="A59" s="18"/>
      <c r="B59" s="36"/>
      <c r="C59" s="36"/>
      <c r="D59" s="36"/>
      <c r="E59" s="25"/>
      <c r="F59" s="26"/>
      <c r="G59" s="30"/>
      <c r="H59" s="31"/>
      <c r="I59" s="31"/>
      <c r="J59" s="31"/>
      <c r="K59" s="31"/>
      <c r="L59" s="32"/>
      <c r="M59" s="18"/>
    </row>
    <row r="60" spans="1:13" ht="18" customHeight="1">
      <c r="A60" s="18"/>
      <c r="B60" s="37"/>
      <c r="C60" s="37"/>
      <c r="D60" s="37"/>
      <c r="E60" s="22"/>
      <c r="F60" s="23"/>
      <c r="G60" s="33"/>
      <c r="H60" s="34"/>
      <c r="I60" s="34"/>
      <c r="J60" s="34"/>
      <c r="K60" s="34"/>
      <c r="L60" s="35"/>
      <c r="M60" s="18"/>
    </row>
    <row r="61" spans="1:13" ht="18" customHeight="1">
      <c r="A61" s="18"/>
      <c r="B61" s="36"/>
      <c r="C61" s="36"/>
      <c r="D61" s="36"/>
      <c r="E61" s="25"/>
      <c r="F61" s="26"/>
      <c r="G61" s="30"/>
      <c r="H61" s="31"/>
      <c r="I61" s="31"/>
      <c r="J61" s="31"/>
      <c r="K61" s="31"/>
      <c r="L61" s="32"/>
      <c r="M61" s="18"/>
    </row>
    <row r="62" spans="1:13" ht="18" customHeight="1">
      <c r="A62" s="18"/>
      <c r="B62" s="37"/>
      <c r="C62" s="37"/>
      <c r="D62" s="37"/>
      <c r="E62" s="22"/>
      <c r="F62" s="23"/>
      <c r="G62" s="33"/>
      <c r="H62" s="34"/>
      <c r="I62" s="34"/>
      <c r="J62" s="34"/>
      <c r="K62" s="34"/>
      <c r="L62" s="35"/>
      <c r="M62" s="18"/>
    </row>
    <row r="63" spans="1:13" ht="18" customHeight="1">
      <c r="A63" s="18"/>
      <c r="B63" s="36"/>
      <c r="C63" s="36"/>
      <c r="D63" s="36"/>
      <c r="E63" s="25"/>
      <c r="F63" s="26"/>
      <c r="G63" s="30"/>
      <c r="H63" s="31"/>
      <c r="I63" s="31"/>
      <c r="J63" s="31"/>
      <c r="K63" s="31"/>
      <c r="L63" s="32"/>
      <c r="M63" s="18"/>
    </row>
    <row r="64" spans="1:13" ht="18" customHeight="1">
      <c r="A64" s="18"/>
      <c r="B64" s="37"/>
      <c r="C64" s="37"/>
      <c r="D64" s="37"/>
      <c r="E64" s="22"/>
      <c r="F64" s="23"/>
      <c r="G64" s="33"/>
      <c r="H64" s="34"/>
      <c r="I64" s="34"/>
      <c r="J64" s="34"/>
      <c r="K64" s="34"/>
      <c r="L64" s="35"/>
      <c r="M64" s="18"/>
    </row>
    <row r="65" spans="1:13" ht="18" customHeight="1">
      <c r="A65" s="18"/>
      <c r="B65" s="36"/>
      <c r="C65" s="36"/>
      <c r="D65" s="36"/>
      <c r="E65" s="25"/>
      <c r="F65" s="26"/>
      <c r="G65" s="30"/>
      <c r="H65" s="31"/>
      <c r="I65" s="31"/>
      <c r="J65" s="31"/>
      <c r="K65" s="31"/>
      <c r="L65" s="32"/>
      <c r="M65" s="18"/>
    </row>
    <row r="66" spans="1:1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</sheetData>
  <mergeCells count="33">
    <mergeCell ref="B53:D53"/>
    <mergeCell ref="B54:D54"/>
    <mergeCell ref="B2:F2"/>
    <mergeCell ref="B3:L3"/>
    <mergeCell ref="B49:L49"/>
    <mergeCell ref="B51:D51"/>
    <mergeCell ref="G51:L51"/>
    <mergeCell ref="B65:D65"/>
    <mergeCell ref="B61:D61"/>
    <mergeCell ref="B62:D62"/>
    <mergeCell ref="B63:D63"/>
    <mergeCell ref="B64:D64"/>
    <mergeCell ref="B59:D59"/>
    <mergeCell ref="B60:D60"/>
    <mergeCell ref="G52:L52"/>
    <mergeCell ref="G54:L54"/>
    <mergeCell ref="G53:L53"/>
    <mergeCell ref="G60:L60"/>
    <mergeCell ref="G59:L59"/>
    <mergeCell ref="G58:L58"/>
    <mergeCell ref="G57:L57"/>
    <mergeCell ref="G56:L56"/>
    <mergeCell ref="G55:L55"/>
    <mergeCell ref="B55:D55"/>
    <mergeCell ref="B56:D56"/>
    <mergeCell ref="B57:D57"/>
    <mergeCell ref="B58:D58"/>
    <mergeCell ref="B52:D52"/>
    <mergeCell ref="G65:L65"/>
    <mergeCell ref="G64:L64"/>
    <mergeCell ref="G63:L63"/>
    <mergeCell ref="G62:L62"/>
    <mergeCell ref="G61:L61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B1:W60"/>
  <sheetViews>
    <sheetView showGridLines="0" zoomScale="85" zoomScaleNormal="85" workbookViewId="0">
      <selection activeCell="E37" sqref="E37"/>
    </sheetView>
  </sheetViews>
  <sheetFormatPr baseColWidth="10" defaultColWidth="11.25" defaultRowHeight="15.75"/>
  <cols>
    <col min="1" max="1" width="3" customWidth="1"/>
    <col min="2" max="2" width="27.25" customWidth="1"/>
    <col min="3" max="6" width="13.25" customWidth="1"/>
    <col min="7" max="7" width="17.375" customWidth="1"/>
    <col min="8" max="8" width="19.75" customWidth="1"/>
    <col min="9" max="12" width="13.25" customWidth="1"/>
    <col min="13" max="13" width="22.375" bestFit="1" customWidth="1"/>
    <col min="14" max="14" width="3" customWidth="1"/>
  </cols>
  <sheetData>
    <row r="1" spans="2:23" ht="31.9" customHeight="1">
      <c r="B1" s="42" t="s">
        <v>19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1"/>
      <c r="P1" s="1"/>
      <c r="Q1" s="1"/>
      <c r="R1" s="1"/>
      <c r="S1" s="1"/>
      <c r="T1" s="1"/>
      <c r="U1" s="1"/>
      <c r="V1" s="1"/>
      <c r="W1" s="1"/>
    </row>
    <row r="2" spans="2:23" ht="36" customHeight="1">
      <c r="B2" s="44" t="s">
        <v>2</v>
      </c>
      <c r="C2" s="44"/>
      <c r="D2" s="44"/>
      <c r="E2" s="44"/>
      <c r="F2" s="44"/>
      <c r="G2" s="44"/>
      <c r="H2" s="44"/>
      <c r="I2" s="44"/>
      <c r="J2" s="7"/>
      <c r="K2" s="43" t="s">
        <v>14</v>
      </c>
      <c r="L2" s="43"/>
      <c r="M2" s="43"/>
      <c r="T2" s="1"/>
      <c r="U2" s="1"/>
      <c r="V2" s="1"/>
      <c r="W2" s="1"/>
    </row>
    <row r="3" spans="2:23" ht="25.5">
      <c r="B3" s="27" t="s">
        <v>3</v>
      </c>
      <c r="C3" s="27" t="s">
        <v>4</v>
      </c>
      <c r="D3" s="28" t="s">
        <v>20</v>
      </c>
      <c r="E3" s="28" t="s">
        <v>21</v>
      </c>
      <c r="F3" s="63" t="s">
        <v>35</v>
      </c>
      <c r="G3" s="28" t="s">
        <v>23</v>
      </c>
      <c r="H3" s="28" t="s">
        <v>22</v>
      </c>
      <c r="I3" s="29" t="s">
        <v>5</v>
      </c>
      <c r="K3" s="10" t="s">
        <v>5</v>
      </c>
      <c r="L3" s="10" t="s">
        <v>6</v>
      </c>
      <c r="M3" s="10" t="s">
        <v>1</v>
      </c>
      <c r="S3" s="1"/>
      <c r="T3" s="1"/>
      <c r="U3" s="1"/>
      <c r="V3" s="1"/>
    </row>
    <row r="4" spans="2:23">
      <c r="B4" s="8" t="s">
        <v>11</v>
      </c>
      <c r="C4" s="8" t="s">
        <v>30</v>
      </c>
      <c r="D4" s="45">
        <v>43074</v>
      </c>
      <c r="E4" s="45">
        <v>43101</v>
      </c>
      <c r="F4" s="64">
        <f t="shared" ref="F4:F37" si="0">E4-D4</f>
        <v>27</v>
      </c>
      <c r="G4" s="2">
        <v>1</v>
      </c>
      <c r="H4" s="2">
        <v>32</v>
      </c>
      <c r="I4" s="52" t="s">
        <v>7</v>
      </c>
      <c r="K4" s="14" t="s">
        <v>0</v>
      </c>
      <c r="L4" s="4">
        <f>COUNTIF(I4:I37,K4)</f>
        <v>1</v>
      </c>
      <c r="M4" s="11">
        <f>L4/SUM(L4:L7)</f>
        <v>2.9411764705882353E-2</v>
      </c>
      <c r="S4" s="1"/>
      <c r="T4" s="1"/>
      <c r="U4" s="1"/>
      <c r="V4" s="1"/>
    </row>
    <row r="5" spans="2:23">
      <c r="B5" s="9" t="s">
        <v>12</v>
      </c>
      <c r="C5" s="9" t="s">
        <v>31</v>
      </c>
      <c r="D5" s="47">
        <v>43075</v>
      </c>
      <c r="E5" s="47">
        <v>43102</v>
      </c>
      <c r="F5" s="3">
        <f t="shared" si="0"/>
        <v>27</v>
      </c>
      <c r="G5" s="3">
        <v>2</v>
      </c>
      <c r="H5" s="3">
        <v>25</v>
      </c>
      <c r="I5" s="17" t="s">
        <v>9</v>
      </c>
      <c r="K5" s="15" t="s">
        <v>7</v>
      </c>
      <c r="L5" s="4">
        <f>COUNTIF(I4:I37,K5)</f>
        <v>1</v>
      </c>
      <c r="M5" s="11">
        <f>L5/SUM(L4:L7)</f>
        <v>2.9411764705882353E-2</v>
      </c>
      <c r="S5" s="1"/>
      <c r="T5" s="1"/>
      <c r="U5" s="1"/>
      <c r="V5" s="1"/>
    </row>
    <row r="6" spans="2:23">
      <c r="B6" s="8" t="s">
        <v>13</v>
      </c>
      <c r="C6" s="8" t="s">
        <v>30</v>
      </c>
      <c r="D6" s="45">
        <v>43076</v>
      </c>
      <c r="E6" s="45">
        <v>43103</v>
      </c>
      <c r="F6" s="64">
        <f t="shared" si="0"/>
        <v>27</v>
      </c>
      <c r="G6" s="2">
        <v>5</v>
      </c>
      <c r="H6" s="2">
        <v>5</v>
      </c>
      <c r="I6" s="17" t="s">
        <v>0</v>
      </c>
      <c r="K6" s="16" t="s">
        <v>8</v>
      </c>
      <c r="L6" s="4">
        <f>COUNTIF(I4:I37,K6)</f>
        <v>1</v>
      </c>
      <c r="M6" s="12">
        <f>L6/SUM(L4:L7)</f>
        <v>2.9411764705882353E-2</v>
      </c>
      <c r="S6" s="1"/>
      <c r="T6" s="1"/>
      <c r="U6" s="1"/>
      <c r="V6" s="1"/>
    </row>
    <row r="7" spans="2:23">
      <c r="B7" s="48" t="s">
        <v>24</v>
      </c>
      <c r="C7" s="9" t="s">
        <v>31</v>
      </c>
      <c r="D7" s="46">
        <v>43115</v>
      </c>
      <c r="E7" s="46">
        <v>43118</v>
      </c>
      <c r="F7" s="3">
        <f t="shared" si="0"/>
        <v>3</v>
      </c>
      <c r="G7" s="3"/>
      <c r="H7" s="3">
        <v>12</v>
      </c>
      <c r="I7" s="17" t="s">
        <v>9</v>
      </c>
      <c r="K7" s="17" t="s">
        <v>9</v>
      </c>
      <c r="L7" s="4">
        <f>COUNTIF(I4:I37,K7)</f>
        <v>31</v>
      </c>
      <c r="M7" s="11">
        <f>L7/SUM(L4:L7)</f>
        <v>0.91176470588235292</v>
      </c>
      <c r="S7" s="1"/>
      <c r="T7" s="1"/>
      <c r="U7" s="1"/>
      <c r="V7" s="1"/>
    </row>
    <row r="8" spans="2:23">
      <c r="B8" s="8"/>
      <c r="C8" s="8"/>
      <c r="D8" s="45"/>
      <c r="E8" s="45"/>
      <c r="F8" s="64">
        <f t="shared" si="0"/>
        <v>0</v>
      </c>
      <c r="G8" s="2"/>
      <c r="H8" s="2"/>
      <c r="I8" s="17" t="s">
        <v>9</v>
      </c>
      <c r="M8" s="13"/>
      <c r="S8" s="1"/>
      <c r="T8" s="1"/>
      <c r="U8" s="1"/>
      <c r="V8" s="1"/>
    </row>
    <row r="9" spans="2:23">
      <c r="B9" s="48" t="s">
        <v>34</v>
      </c>
      <c r="C9" s="9" t="s">
        <v>30</v>
      </c>
      <c r="D9" s="46">
        <v>43145</v>
      </c>
      <c r="E9" s="46">
        <v>43151</v>
      </c>
      <c r="F9" s="3">
        <f t="shared" si="0"/>
        <v>6</v>
      </c>
      <c r="G9" s="3">
        <v>2</v>
      </c>
      <c r="H9" s="3">
        <v>8</v>
      </c>
      <c r="I9" s="17" t="s">
        <v>8</v>
      </c>
      <c r="S9" s="1"/>
      <c r="T9" s="1"/>
      <c r="U9" s="1"/>
      <c r="V9" s="1"/>
    </row>
    <row r="10" spans="2:23" ht="15.75" customHeight="1">
      <c r="B10" s="8"/>
      <c r="C10" s="8"/>
      <c r="D10" s="45"/>
      <c r="E10" s="45"/>
      <c r="F10" s="64">
        <f t="shared" si="0"/>
        <v>0</v>
      </c>
      <c r="G10" s="2"/>
      <c r="H10" s="2"/>
      <c r="I10" s="17" t="s">
        <v>9</v>
      </c>
      <c r="K10" s="53" t="s">
        <v>29</v>
      </c>
      <c r="L10" s="54"/>
      <c r="M10" s="55"/>
      <c r="S10" s="1"/>
      <c r="T10" s="1"/>
      <c r="U10" s="1"/>
      <c r="V10" s="1"/>
    </row>
    <row r="11" spans="2:23">
      <c r="B11" s="9"/>
      <c r="C11" s="9"/>
      <c r="D11" s="46"/>
      <c r="E11" s="46"/>
      <c r="F11" s="3">
        <f t="shared" si="0"/>
        <v>0</v>
      </c>
      <c r="G11" s="3"/>
      <c r="H11" s="3"/>
      <c r="I11" s="17" t="s">
        <v>9</v>
      </c>
      <c r="K11" s="56"/>
      <c r="L11" s="57"/>
      <c r="M11" s="58"/>
      <c r="S11" s="1"/>
      <c r="T11" s="1"/>
      <c r="U11" s="1"/>
      <c r="V11" s="1"/>
    </row>
    <row r="12" spans="2:23">
      <c r="B12" s="8"/>
      <c r="C12" s="8"/>
      <c r="D12" s="45"/>
      <c r="E12" s="45"/>
      <c r="F12" s="64">
        <f t="shared" si="0"/>
        <v>0</v>
      </c>
      <c r="G12" s="2"/>
      <c r="H12" s="2"/>
      <c r="I12" s="17" t="s">
        <v>9</v>
      </c>
      <c r="K12" s="59" t="s">
        <v>4</v>
      </c>
      <c r="L12" s="61" t="s">
        <v>32</v>
      </c>
      <c r="M12" s="61" t="s">
        <v>33</v>
      </c>
      <c r="S12" s="1"/>
      <c r="T12" s="1"/>
      <c r="U12" s="1"/>
      <c r="V12" s="1"/>
    </row>
    <row r="13" spans="2:23">
      <c r="B13" s="9"/>
      <c r="C13" s="9"/>
      <c r="D13" s="46"/>
      <c r="E13" s="46"/>
      <c r="F13" s="3">
        <f t="shared" si="0"/>
        <v>0</v>
      </c>
      <c r="G13" s="3"/>
      <c r="H13" s="3"/>
      <c r="I13" s="17" t="s">
        <v>9</v>
      </c>
      <c r="K13" s="60"/>
      <c r="L13" s="60"/>
      <c r="M13" s="60"/>
      <c r="S13" s="1"/>
      <c r="T13" s="1"/>
      <c r="U13" s="1"/>
      <c r="V13" s="1"/>
    </row>
    <row r="14" spans="2:23">
      <c r="B14" s="8"/>
      <c r="C14" s="8"/>
      <c r="D14" s="45"/>
      <c r="E14" s="45"/>
      <c r="F14" s="64">
        <f t="shared" si="0"/>
        <v>0</v>
      </c>
      <c r="G14" s="2"/>
      <c r="H14" s="2"/>
      <c r="I14" s="17" t="s">
        <v>9</v>
      </c>
      <c r="K14" s="4" t="s">
        <v>30</v>
      </c>
      <c r="L14" s="4">
        <f>COUNTIF(C4:C37,K14)</f>
        <v>3</v>
      </c>
      <c r="M14" s="62">
        <f>SUMIF(C4:C37,K14,H4:H37)</f>
        <v>45</v>
      </c>
      <c r="S14" s="1"/>
      <c r="T14" s="1"/>
      <c r="U14" s="1"/>
      <c r="V14" s="1"/>
    </row>
    <row r="15" spans="2:23">
      <c r="B15" s="9"/>
      <c r="C15" s="9"/>
      <c r="D15" s="46"/>
      <c r="E15" s="46"/>
      <c r="F15" s="3">
        <f t="shared" si="0"/>
        <v>0</v>
      </c>
      <c r="G15" s="3"/>
      <c r="H15" s="3"/>
      <c r="I15" s="17" t="s">
        <v>9</v>
      </c>
      <c r="K15" s="4" t="s">
        <v>31</v>
      </c>
      <c r="L15" s="4">
        <f>COUNTIF(C5:C38,K15)</f>
        <v>2</v>
      </c>
      <c r="M15" s="62">
        <f>SUMIF(C4:C37,K15,H4:H37)</f>
        <v>37</v>
      </c>
      <c r="S15" s="1"/>
      <c r="T15" s="1"/>
      <c r="U15" s="1"/>
      <c r="V15" s="1"/>
    </row>
    <row r="16" spans="2:23">
      <c r="B16" s="8"/>
      <c r="C16" s="8"/>
      <c r="D16" s="45"/>
      <c r="E16" s="45"/>
      <c r="F16" s="64">
        <f t="shared" si="0"/>
        <v>0</v>
      </c>
      <c r="G16" s="2"/>
      <c r="H16" s="2"/>
      <c r="I16" s="17" t="s">
        <v>9</v>
      </c>
      <c r="S16" s="1"/>
      <c r="T16" s="1"/>
      <c r="U16" s="1"/>
      <c r="V16" s="1"/>
    </row>
    <row r="17" spans="2:23">
      <c r="B17" s="9"/>
      <c r="C17" s="9"/>
      <c r="D17" s="46"/>
      <c r="E17" s="46"/>
      <c r="F17" s="3">
        <f t="shared" si="0"/>
        <v>0</v>
      </c>
      <c r="G17" s="3"/>
      <c r="H17" s="3"/>
      <c r="I17" s="17" t="s">
        <v>9</v>
      </c>
      <c r="S17" s="1"/>
      <c r="T17" s="1"/>
      <c r="U17" s="1"/>
      <c r="V17" s="1"/>
    </row>
    <row r="18" spans="2:23" ht="16.149999999999999" customHeight="1">
      <c r="B18" s="8"/>
      <c r="C18" s="8"/>
      <c r="D18" s="45"/>
      <c r="E18" s="45"/>
      <c r="F18" s="2">
        <f t="shared" si="0"/>
        <v>0</v>
      </c>
      <c r="G18" s="2"/>
      <c r="H18" s="2"/>
      <c r="I18" s="17" t="s">
        <v>9</v>
      </c>
      <c r="T18" s="1"/>
      <c r="U18" s="1"/>
      <c r="V18" s="1"/>
      <c r="W18" s="1"/>
    </row>
    <row r="19" spans="2:23" ht="16.149999999999999" customHeight="1">
      <c r="B19" s="9"/>
      <c r="C19" s="9"/>
      <c r="D19" s="46"/>
      <c r="E19" s="46"/>
      <c r="F19" s="3">
        <f t="shared" si="0"/>
        <v>0</v>
      </c>
      <c r="G19" s="3"/>
      <c r="H19" s="3"/>
      <c r="I19" s="17" t="s">
        <v>9</v>
      </c>
      <c r="T19" s="1"/>
      <c r="U19" s="1"/>
      <c r="V19" s="1"/>
      <c r="W19" s="1"/>
    </row>
    <row r="20" spans="2:23">
      <c r="B20" s="8"/>
      <c r="C20" s="8"/>
      <c r="D20" s="45"/>
      <c r="E20" s="45"/>
      <c r="F20" s="2">
        <f t="shared" si="0"/>
        <v>0</v>
      </c>
      <c r="G20" s="2"/>
      <c r="H20" s="2"/>
      <c r="I20" s="17" t="s">
        <v>9</v>
      </c>
      <c r="J20" s="5"/>
      <c r="K20" s="1"/>
      <c r="L20" s="1"/>
      <c r="M20" s="1"/>
      <c r="N20" s="1"/>
    </row>
    <row r="21" spans="2:23">
      <c r="B21" s="9"/>
      <c r="C21" s="9"/>
      <c r="D21" s="46"/>
      <c r="E21" s="46"/>
      <c r="F21" s="3">
        <f t="shared" si="0"/>
        <v>0</v>
      </c>
      <c r="G21" s="3"/>
      <c r="H21" s="3"/>
      <c r="I21" s="17" t="s">
        <v>9</v>
      </c>
      <c r="J21" s="1"/>
      <c r="K21" s="1"/>
      <c r="L21" s="1"/>
      <c r="M21" s="1"/>
      <c r="N21" s="1"/>
    </row>
    <row r="22" spans="2:23">
      <c r="B22" s="8"/>
      <c r="C22" s="8"/>
      <c r="D22" s="45"/>
      <c r="E22" s="45"/>
      <c r="F22" s="2">
        <f t="shared" si="0"/>
        <v>0</v>
      </c>
      <c r="G22" s="2"/>
      <c r="H22" s="2"/>
      <c r="I22" s="17" t="s">
        <v>9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23">
      <c r="B23" s="9"/>
      <c r="C23" s="9"/>
      <c r="D23" s="46"/>
      <c r="E23" s="46"/>
      <c r="F23" s="3">
        <f t="shared" si="0"/>
        <v>0</v>
      </c>
      <c r="G23" s="3"/>
      <c r="H23" s="3"/>
      <c r="I23" s="17" t="s">
        <v>9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23">
      <c r="B24" s="8"/>
      <c r="C24" s="8"/>
      <c r="D24" s="45"/>
      <c r="E24" s="45"/>
      <c r="F24" s="2">
        <f t="shared" si="0"/>
        <v>0</v>
      </c>
      <c r="G24" s="2"/>
      <c r="H24" s="2"/>
      <c r="I24" s="17" t="s">
        <v>9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23">
      <c r="B25" s="9"/>
      <c r="C25" s="9"/>
      <c r="D25" s="46"/>
      <c r="E25" s="46"/>
      <c r="F25" s="3">
        <f t="shared" si="0"/>
        <v>0</v>
      </c>
      <c r="G25" s="3"/>
      <c r="H25" s="3"/>
      <c r="I25" s="17" t="s">
        <v>9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23">
      <c r="B26" s="8"/>
      <c r="C26" s="8"/>
      <c r="D26" s="45"/>
      <c r="E26" s="45"/>
      <c r="F26" s="2">
        <f t="shared" si="0"/>
        <v>0</v>
      </c>
      <c r="G26" s="2"/>
      <c r="H26" s="2"/>
      <c r="I26" s="17" t="s">
        <v>9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23">
      <c r="B27" s="9"/>
      <c r="C27" s="9"/>
      <c r="D27" s="46"/>
      <c r="E27" s="46"/>
      <c r="F27" s="3">
        <f t="shared" si="0"/>
        <v>0</v>
      </c>
      <c r="G27" s="3"/>
      <c r="H27" s="3"/>
      <c r="I27" s="17" t="s">
        <v>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>
      <c r="B28" s="8"/>
      <c r="C28" s="8"/>
      <c r="D28" s="45"/>
      <c r="E28" s="45"/>
      <c r="F28" s="2">
        <f t="shared" si="0"/>
        <v>0</v>
      </c>
      <c r="G28" s="2"/>
      <c r="H28" s="2"/>
      <c r="I28" s="17" t="s">
        <v>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>
      <c r="B29" s="9"/>
      <c r="C29" s="9"/>
      <c r="D29" s="46"/>
      <c r="E29" s="46"/>
      <c r="F29" s="3">
        <f t="shared" si="0"/>
        <v>0</v>
      </c>
      <c r="G29" s="3"/>
      <c r="H29" s="3"/>
      <c r="I29" s="17" t="s">
        <v>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>
      <c r="B30" s="8"/>
      <c r="C30" s="8"/>
      <c r="D30" s="45"/>
      <c r="E30" s="45"/>
      <c r="F30" s="2">
        <f t="shared" si="0"/>
        <v>0</v>
      </c>
      <c r="G30" s="2"/>
      <c r="H30" s="2"/>
      <c r="I30" s="17" t="s">
        <v>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>
      <c r="B31" s="9"/>
      <c r="C31" s="9"/>
      <c r="D31" s="46"/>
      <c r="E31" s="46"/>
      <c r="F31" s="3">
        <f t="shared" si="0"/>
        <v>0</v>
      </c>
      <c r="G31" s="3"/>
      <c r="H31" s="3"/>
      <c r="I31" s="17" t="s">
        <v>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>
      <c r="B32" s="8"/>
      <c r="C32" s="8"/>
      <c r="D32" s="45"/>
      <c r="E32" s="45"/>
      <c r="F32" s="2">
        <f t="shared" si="0"/>
        <v>0</v>
      </c>
      <c r="G32" s="2"/>
      <c r="H32" s="2"/>
      <c r="I32" s="17" t="s">
        <v>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>
      <c r="B33" s="9"/>
      <c r="C33" s="9"/>
      <c r="D33" s="46"/>
      <c r="E33" s="46"/>
      <c r="F33" s="3">
        <f t="shared" si="0"/>
        <v>0</v>
      </c>
      <c r="G33" s="3"/>
      <c r="H33" s="3"/>
      <c r="I33" s="17" t="s">
        <v>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>
      <c r="B34" s="8"/>
      <c r="C34" s="8"/>
      <c r="D34" s="45"/>
      <c r="E34" s="45"/>
      <c r="F34" s="2">
        <f t="shared" si="0"/>
        <v>0</v>
      </c>
      <c r="G34" s="2"/>
      <c r="H34" s="2"/>
      <c r="I34" s="17" t="s">
        <v>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>
      <c r="B35" s="48" t="s">
        <v>27</v>
      </c>
      <c r="C35" s="9"/>
      <c r="D35" s="46"/>
      <c r="E35" s="46"/>
      <c r="F35" s="3">
        <f t="shared" si="0"/>
        <v>0</v>
      </c>
      <c r="G35" s="3"/>
      <c r="H35" s="3"/>
      <c r="I35" s="17" t="s">
        <v>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>
      <c r="B36" s="51" t="s">
        <v>26</v>
      </c>
      <c r="C36" s="8"/>
      <c r="D36" s="45"/>
      <c r="E36" s="45"/>
      <c r="F36" s="64">
        <f t="shared" si="0"/>
        <v>0</v>
      </c>
      <c r="G36" s="2"/>
      <c r="H36" s="2"/>
      <c r="I36" s="17" t="s">
        <v>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>
      <c r="B37" s="48" t="s">
        <v>28</v>
      </c>
      <c r="C37" s="9"/>
      <c r="D37" s="46">
        <v>43341</v>
      </c>
      <c r="E37" s="46">
        <v>43343</v>
      </c>
      <c r="F37" s="3">
        <f t="shared" si="0"/>
        <v>2</v>
      </c>
      <c r="G37" s="3"/>
      <c r="H37" s="3">
        <v>3</v>
      </c>
      <c r="I37" s="17" t="s">
        <v>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3:2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3:2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3:2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3:2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3:2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3:2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3:2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3:2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3:2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3:23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3:23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</sheetData>
  <mergeCells count="7">
    <mergeCell ref="K12:K13"/>
    <mergeCell ref="L12:L13"/>
    <mergeCell ref="M12:M13"/>
    <mergeCell ref="B1:N1"/>
    <mergeCell ref="K2:M2"/>
    <mergeCell ref="K10:M11"/>
    <mergeCell ref="B2:I2"/>
  </mergeCells>
  <conditionalFormatting sqref="I4:I37">
    <cfRule type="cellIs" dxfId="18" priority="10" operator="equal">
      <formula>$K$7</formula>
    </cfRule>
    <cfRule type="cellIs" dxfId="17" priority="11" operator="equal">
      <formula>$K$6</formula>
    </cfRule>
    <cfRule type="cellIs" dxfId="16" priority="12" operator="equal">
      <formula>$K$5</formula>
    </cfRule>
    <cfRule type="cellIs" dxfId="15" priority="13" operator="equal">
      <formula>$K$4</formula>
    </cfRule>
  </conditionalFormatting>
  <conditionalFormatting sqref="H4">
    <cfRule type="cellIs" dxfId="14" priority="6" operator="greaterThan">
      <formula>$F$4</formula>
    </cfRule>
  </conditionalFormatting>
  <conditionalFormatting sqref="H5">
    <cfRule type="cellIs" dxfId="13" priority="5" operator="greaterThan">
      <formula>$F$5</formula>
    </cfRule>
  </conditionalFormatting>
  <conditionalFormatting sqref="H6">
    <cfRule type="cellIs" dxfId="12" priority="4" operator="greaterThan">
      <formula>$F$6</formula>
    </cfRule>
  </conditionalFormatting>
  <conditionalFormatting sqref="H7">
    <cfRule type="cellIs" dxfId="11" priority="3" operator="greaterThan">
      <formula>$F$7</formula>
    </cfRule>
  </conditionalFormatting>
  <conditionalFormatting sqref="H8">
    <cfRule type="cellIs" dxfId="10" priority="2" operator="greaterThan">
      <formula>$F$8</formula>
    </cfRule>
  </conditionalFormatting>
  <conditionalFormatting sqref="H9">
    <cfRule type="cellIs" dxfId="0" priority="1" operator="greaterThan">
      <formula>$F$9</formula>
    </cfRule>
  </conditionalFormatting>
  <dataValidations count="2">
    <dataValidation type="list" allowBlank="1" showInputMessage="1" showErrorMessage="1" sqref="I4:I37">
      <formula1>STATUT</formula1>
    </dataValidation>
    <dataValidation type="list" allowBlank="1" showInputMessage="1" showErrorMessage="1" sqref="C4:C37">
      <formula1>QUI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Tableau de bord </vt:lpstr>
      <vt:lpstr>Donnees</vt:lpstr>
      <vt:lpstr>QUI</vt:lpstr>
      <vt:lpstr>STATUT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Sankiewicz</dc:creator>
  <cp:lastModifiedBy>Alex</cp:lastModifiedBy>
  <dcterms:created xsi:type="dcterms:W3CDTF">2016-03-21T16:06:55Z</dcterms:created>
  <dcterms:modified xsi:type="dcterms:W3CDTF">2017-12-09T16:11:16Z</dcterms:modified>
</cp:coreProperties>
</file>